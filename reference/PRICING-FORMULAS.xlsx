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Paikada\Documents\"/>
    </mc:Choice>
  </mc:AlternateContent>
  <xr:revisionPtr revIDLastSave="0" documentId="8_{6C80F735-FDF4-4F51-8B88-AA06C4BB1E5C}" xr6:coauthVersionLast="47" xr6:coauthVersionMax="47" xr10:uidLastSave="{00000000-0000-0000-0000-000000000000}"/>
  <bookViews>
    <workbookView xWindow="-110" yWindow="-110" windowWidth="19420" windowHeight="10300" xr2:uid="{C80460D8-E5A6-4DD0-8761-57541DB1671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1" l="1"/>
  <c r="F23" i="1"/>
  <c r="F22" i="1"/>
  <c r="F24" i="1"/>
  <c r="E22" i="1"/>
  <c r="E23" i="1"/>
  <c r="J21" i="1"/>
  <c r="H18" i="1"/>
  <c r="H19" i="1"/>
  <c r="H20" i="1"/>
  <c r="H21" i="1"/>
  <c r="F21" i="1"/>
  <c r="E21" i="1"/>
  <c r="J17" i="1"/>
  <c r="H17" i="1"/>
  <c r="F17" i="1"/>
  <c r="E17" i="1"/>
  <c r="J16" i="1"/>
  <c r="H14" i="1"/>
  <c r="H15" i="1"/>
  <c r="H16" i="1"/>
  <c r="F16" i="1"/>
  <c r="F14" i="1"/>
  <c r="F15" i="1"/>
  <c r="E16" i="1"/>
  <c r="J13" i="1"/>
  <c r="H13" i="1"/>
  <c r="F13" i="1"/>
  <c r="E13" i="1"/>
  <c r="F11" i="1"/>
  <c r="F12" i="1"/>
  <c r="J12" i="1" s="1"/>
  <c r="F7" i="1"/>
  <c r="H12" i="1"/>
  <c r="E12" i="1"/>
  <c r="H11" i="1"/>
  <c r="E11" i="1"/>
  <c r="J10" i="1"/>
  <c r="E10" i="1"/>
  <c r="F10" i="1" s="1"/>
  <c r="H10" i="1"/>
  <c r="J8" i="1"/>
  <c r="J9" i="1"/>
  <c r="H8" i="1"/>
  <c r="H9" i="1"/>
  <c r="F8" i="1"/>
  <c r="F9" i="1"/>
  <c r="E8" i="1"/>
  <c r="E9" i="1"/>
  <c r="H7" i="1"/>
  <c r="E7" i="1"/>
  <c r="G4" i="1"/>
  <c r="G3" i="1"/>
  <c r="J11" i="1" l="1"/>
  <c r="J7" i="1"/>
</calcChain>
</file>

<file path=xl/sharedStrings.xml><?xml version="1.0" encoding="utf-8"?>
<sst xmlns="http://schemas.openxmlformats.org/spreadsheetml/2006/main" count="42" uniqueCount="38">
  <si>
    <t>Inotherm Door</t>
  </si>
  <si>
    <t>EURO</t>
  </si>
  <si>
    <t>EURO-45%*4.32*2.85</t>
  </si>
  <si>
    <t>RETAIL PRICE</t>
  </si>
  <si>
    <t>FREIGHT</t>
  </si>
  <si>
    <t>Other Charges</t>
  </si>
  <si>
    <t>Kobbe Door</t>
  </si>
  <si>
    <t>Systems</t>
  </si>
  <si>
    <t>Product Cost</t>
  </si>
  <si>
    <t>EURO PRICE*4.32*2.85</t>
  </si>
  <si>
    <t>AED</t>
  </si>
  <si>
    <t>Width</t>
  </si>
  <si>
    <t>Height</t>
  </si>
  <si>
    <t>COST -Based on SQM</t>
  </si>
  <si>
    <t>Actual Cost</t>
  </si>
  <si>
    <t>GLASS COST SQM</t>
  </si>
  <si>
    <t>GLASS PRICE</t>
  </si>
  <si>
    <t>OTHER CHARGES</t>
  </si>
  <si>
    <t>FINAL PRICE</t>
  </si>
  <si>
    <t>Sliding Doors-Series 1,Series 2,Series 3</t>
  </si>
  <si>
    <t>Series 1</t>
  </si>
  <si>
    <t>Series 2</t>
  </si>
  <si>
    <t>Series 3</t>
  </si>
  <si>
    <t>B3800- Folding Door</t>
  </si>
  <si>
    <t>B3710-Folding Door</t>
  </si>
  <si>
    <t>F44 Fixed Windows</t>
  </si>
  <si>
    <t>C35 Curtainwall</t>
  </si>
  <si>
    <t>GBP</t>
  </si>
  <si>
    <t>RETAIL</t>
  </si>
  <si>
    <t>Freigh per Panel-1500</t>
  </si>
  <si>
    <t>Origin</t>
  </si>
  <si>
    <t>Folding Door -3 panels</t>
  </si>
  <si>
    <t>SingleDoor - 1 panel</t>
  </si>
  <si>
    <t>Hyline</t>
  </si>
  <si>
    <t>Sliding Door</t>
  </si>
  <si>
    <t>GLASS</t>
  </si>
  <si>
    <t>Freight</t>
  </si>
  <si>
    <t>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</si>
</sst>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2" borderId="0" xfId="1" applyNumberFormat="1" applyFont="1" applyFill="1" applyAlignment="1">
      <alignment horizontal="center"/>
    </xf>
    <xf numFmtId="0" fontId="0" fillId="2" borderId="0" xfId="0" applyFill="1"/>
    <xf numFmtId="165" fontId="0" fillId="0" borderId="0" xfId="1" applyNumberFormat="1" applyFont="1"/>
    <xf numFmtId="0" fontId="2" fillId="0" borderId="0" xfId="0" applyFont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193F-6728-49A9-A268-E48246A9F4AD}">
  <dimension ref="A2:J24"/>
  <sheetViews>
    <sheetView tabSelected="1" topLeftCell="A7" workbookViewId="0">
      <selection activeCell="D26" sqref="D26"/>
    </sheetView>
  </sheetViews>
  <sheetFormatPr defaultRowHeight="14.5" x14ac:dyDescent="0.35"/>
  <cols>
    <col min="1" max="1" width="18.36328125" customWidth="1"/>
    <col min="2" max="2" width="14.6328125" customWidth="1"/>
    <col min="3" max="3" width="19.36328125" customWidth="1"/>
    <col min="4" max="4" width="29.90625" customWidth="1"/>
    <col min="5" max="5" width="13.7265625" customWidth="1"/>
    <col min="6" max="6" width="17.90625" customWidth="1"/>
    <col min="7" max="7" width="17.36328125" customWidth="1"/>
    <col min="8" max="8" width="14.54296875" customWidth="1"/>
    <col min="9" max="9" width="16.08984375" customWidth="1"/>
    <col min="10" max="10" width="11.08984375" customWidth="1"/>
  </cols>
  <sheetData>
    <row r="2" spans="1:10" x14ac:dyDescent="0.35">
      <c r="B2" t="s">
        <v>7</v>
      </c>
      <c r="C2" t="s">
        <v>8</v>
      </c>
      <c r="D2" t="s">
        <v>3</v>
      </c>
      <c r="E2" t="s">
        <v>4</v>
      </c>
      <c r="F2" t="s">
        <v>5</v>
      </c>
    </row>
    <row r="3" spans="1:10" x14ac:dyDescent="0.35">
      <c r="B3" s="8" t="s">
        <v>0</v>
      </c>
      <c r="C3" t="s">
        <v>1</v>
      </c>
      <c r="D3" t="s">
        <v>2</v>
      </c>
      <c r="E3" s="1">
        <v>7500</v>
      </c>
      <c r="F3">
        <v>1500</v>
      </c>
      <c r="G3" t="e">
        <f>D3+E3+F3</f>
        <v>#VALUE!</v>
      </c>
    </row>
    <row r="4" spans="1:10" x14ac:dyDescent="0.35">
      <c r="B4" s="8" t="s">
        <v>6</v>
      </c>
      <c r="C4" t="s">
        <v>1</v>
      </c>
      <c r="D4" t="s">
        <v>9</v>
      </c>
      <c r="E4">
        <v>20000</v>
      </c>
      <c r="G4" t="e">
        <f>D4+E4</f>
        <v>#VALUE!</v>
      </c>
    </row>
    <row r="5" spans="1:10" x14ac:dyDescent="0.35">
      <c r="B5" s="4" t="s">
        <v>19</v>
      </c>
      <c r="C5" s="4"/>
      <c r="D5" s="4"/>
    </row>
    <row r="6" spans="1:10" x14ac:dyDescent="0.35">
      <c r="B6" t="s">
        <v>11</v>
      </c>
      <c r="C6" t="s">
        <v>12</v>
      </c>
      <c r="D6" t="s">
        <v>13</v>
      </c>
      <c r="E6" t="s">
        <v>14</v>
      </c>
      <c r="F6" t="s">
        <v>3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35">
      <c r="A7" s="9" t="s">
        <v>20</v>
      </c>
      <c r="B7" s="2">
        <v>3000</v>
      </c>
      <c r="C7" s="2">
        <v>2500</v>
      </c>
      <c r="D7" s="2">
        <v>1050</v>
      </c>
      <c r="E7" s="2">
        <f>ROUND(B7/1000*C7/1000*D7,0)</f>
        <v>7875</v>
      </c>
      <c r="F7" s="3">
        <f>E7*2.5</f>
        <v>19687.5</v>
      </c>
      <c r="G7" s="2">
        <v>450</v>
      </c>
      <c r="H7" s="2">
        <f>ROUND(B7/1000*C7/1000*G7,0)</f>
        <v>3375</v>
      </c>
      <c r="I7" s="2">
        <v>250</v>
      </c>
      <c r="J7" s="5">
        <f>F7+H7+I7</f>
        <v>23312.5</v>
      </c>
    </row>
    <row r="8" spans="1:10" x14ac:dyDescent="0.35">
      <c r="A8" s="8" t="s">
        <v>21</v>
      </c>
      <c r="B8" s="2">
        <v>3000</v>
      </c>
      <c r="C8" s="2">
        <v>2500</v>
      </c>
      <c r="D8" s="2">
        <v>1200</v>
      </c>
      <c r="E8" s="2">
        <f t="shared" ref="E8:E9" si="0">ROUND(B8/1000*C8/1000*D8,0)</f>
        <v>9000</v>
      </c>
      <c r="F8" s="2">
        <f t="shared" ref="F8:F12" si="1">E8*2.85</f>
        <v>25650</v>
      </c>
      <c r="G8" s="2">
        <v>450</v>
      </c>
      <c r="H8" s="2">
        <f t="shared" ref="H8:H9" si="2">ROUND(B8/1000*C8/1000*G8,0)</f>
        <v>3375</v>
      </c>
      <c r="I8" s="2">
        <v>250</v>
      </c>
      <c r="J8" s="5">
        <f t="shared" ref="J8:J13" si="3">F8+H8+I8</f>
        <v>29275</v>
      </c>
    </row>
    <row r="9" spans="1:10" x14ac:dyDescent="0.35">
      <c r="A9" s="8" t="s">
        <v>22</v>
      </c>
      <c r="B9" s="2">
        <v>3000</v>
      </c>
      <c r="C9" s="2">
        <v>2500</v>
      </c>
      <c r="D9" s="2">
        <v>1400</v>
      </c>
      <c r="E9" s="2">
        <f t="shared" si="0"/>
        <v>10500</v>
      </c>
      <c r="F9" s="2">
        <f t="shared" si="1"/>
        <v>29925</v>
      </c>
      <c r="G9" s="2">
        <v>450</v>
      </c>
      <c r="H9" s="2">
        <f t="shared" si="2"/>
        <v>3375</v>
      </c>
      <c r="I9" s="2">
        <v>250</v>
      </c>
      <c r="J9" s="5">
        <f t="shared" si="3"/>
        <v>33550</v>
      </c>
    </row>
    <row r="10" spans="1:10" x14ac:dyDescent="0.35">
      <c r="A10" s="8" t="s">
        <v>23</v>
      </c>
      <c r="B10" s="2">
        <v>3200</v>
      </c>
      <c r="C10" s="2">
        <v>2400</v>
      </c>
      <c r="D10" s="2">
        <v>1050</v>
      </c>
      <c r="E10" s="2">
        <f t="shared" ref="E10:E13" si="4">ROUND(B10/1000*C10/1000*D10,0)</f>
        <v>8064</v>
      </c>
      <c r="F10" s="2">
        <f t="shared" si="1"/>
        <v>22982.400000000001</v>
      </c>
      <c r="G10" s="2">
        <v>450</v>
      </c>
      <c r="H10" s="2">
        <f t="shared" ref="H10:H21" si="5">ROUND(B10/1000*C10/1000*G10,0)</f>
        <v>3456</v>
      </c>
      <c r="I10" s="2">
        <v>250</v>
      </c>
      <c r="J10" s="5">
        <f t="shared" si="3"/>
        <v>26688.400000000001</v>
      </c>
    </row>
    <row r="11" spans="1:10" x14ac:dyDescent="0.35">
      <c r="A11" s="8" t="s">
        <v>24</v>
      </c>
      <c r="B11" s="2">
        <v>3500</v>
      </c>
      <c r="C11" s="2">
        <v>4000</v>
      </c>
      <c r="D11" s="2">
        <v>1200</v>
      </c>
      <c r="E11" s="2">
        <f t="shared" si="4"/>
        <v>16800</v>
      </c>
      <c r="F11" s="3">
        <f>E11*2.5</f>
        <v>42000</v>
      </c>
      <c r="G11" s="2">
        <v>1500</v>
      </c>
      <c r="H11" s="2">
        <f t="shared" si="5"/>
        <v>21000</v>
      </c>
      <c r="I11" s="2">
        <v>250</v>
      </c>
      <c r="J11" s="5">
        <f t="shared" si="3"/>
        <v>63250</v>
      </c>
    </row>
    <row r="12" spans="1:10" x14ac:dyDescent="0.35">
      <c r="A12" s="9" t="s">
        <v>25</v>
      </c>
      <c r="B12" s="2">
        <v>1000</v>
      </c>
      <c r="C12" s="2">
        <v>1500</v>
      </c>
      <c r="D12" s="2">
        <v>600</v>
      </c>
      <c r="E12" s="2">
        <f t="shared" si="4"/>
        <v>900</v>
      </c>
      <c r="F12" s="3">
        <f>E12*2.5</f>
        <v>2250</v>
      </c>
      <c r="G12" s="2">
        <v>450</v>
      </c>
      <c r="H12" s="2">
        <f t="shared" si="5"/>
        <v>675</v>
      </c>
      <c r="I12" s="2">
        <v>250</v>
      </c>
      <c r="J12" s="5">
        <f t="shared" si="3"/>
        <v>3175</v>
      </c>
    </row>
    <row r="13" spans="1:10" x14ac:dyDescent="0.35">
      <c r="A13" s="9" t="s">
        <v>26</v>
      </c>
      <c r="B13" s="2">
        <v>2000</v>
      </c>
      <c r="C13" s="2">
        <v>2200</v>
      </c>
      <c r="D13" s="2">
        <v>800</v>
      </c>
      <c r="E13" s="2">
        <f t="shared" si="4"/>
        <v>3520</v>
      </c>
      <c r="F13" s="3">
        <f>E13*2.5</f>
        <v>8800</v>
      </c>
      <c r="G13" s="2">
        <v>450</v>
      </c>
      <c r="H13" s="2">
        <f t="shared" si="5"/>
        <v>1980</v>
      </c>
      <c r="I13" s="2">
        <v>250</v>
      </c>
      <c r="J13" s="5">
        <f t="shared" si="3"/>
        <v>11030</v>
      </c>
    </row>
    <row r="14" spans="1:10" x14ac:dyDescent="0.35">
      <c r="F14" s="3">
        <f t="shared" ref="F14:F16" si="6">E14*2.5</f>
        <v>0</v>
      </c>
      <c r="H14" s="2">
        <f t="shared" si="5"/>
        <v>0</v>
      </c>
    </row>
    <row r="15" spans="1:10" x14ac:dyDescent="0.35">
      <c r="A15" s="8" t="s">
        <v>30</v>
      </c>
      <c r="D15" t="s">
        <v>27</v>
      </c>
      <c r="E15" t="s">
        <v>10</v>
      </c>
      <c r="F15" s="3" t="e">
        <f t="shared" si="6"/>
        <v>#VALUE!</v>
      </c>
      <c r="H15" s="2">
        <f t="shared" si="5"/>
        <v>0</v>
      </c>
      <c r="I15" t="s">
        <v>29</v>
      </c>
    </row>
    <row r="16" spans="1:10" x14ac:dyDescent="0.35">
      <c r="A16" s="8" t="s">
        <v>32</v>
      </c>
      <c r="B16" s="2">
        <v>1000</v>
      </c>
      <c r="C16" s="2">
        <v>2500</v>
      </c>
      <c r="D16">
        <v>560</v>
      </c>
      <c r="E16">
        <f>D16*5</f>
        <v>2800</v>
      </c>
      <c r="F16" s="2">
        <f>E16*2.85</f>
        <v>7980</v>
      </c>
      <c r="G16" s="2">
        <v>450</v>
      </c>
      <c r="H16" s="2">
        <f t="shared" si="5"/>
        <v>1125</v>
      </c>
      <c r="I16" s="2">
        <v>1500</v>
      </c>
      <c r="J16" s="7">
        <f>F16+H16+I16</f>
        <v>10605</v>
      </c>
    </row>
    <row r="17" spans="1:10" x14ac:dyDescent="0.35">
      <c r="A17" s="8" t="s">
        <v>31</v>
      </c>
      <c r="B17" s="2">
        <v>3000</v>
      </c>
      <c r="C17" s="2">
        <v>2600</v>
      </c>
      <c r="D17">
        <v>1700</v>
      </c>
      <c r="E17">
        <f>D17*5</f>
        <v>8500</v>
      </c>
      <c r="F17" s="2">
        <f>E17*2.85</f>
        <v>24225</v>
      </c>
      <c r="G17" s="2">
        <v>450</v>
      </c>
      <c r="H17" s="2">
        <f t="shared" si="5"/>
        <v>3510</v>
      </c>
      <c r="I17" s="2">
        <v>4500</v>
      </c>
      <c r="J17" s="7">
        <f>F17+H17+I17</f>
        <v>32235</v>
      </c>
    </row>
    <row r="18" spans="1:10" x14ac:dyDescent="0.35">
      <c r="H18" s="2">
        <f t="shared" si="5"/>
        <v>0</v>
      </c>
    </row>
    <row r="19" spans="1:10" x14ac:dyDescent="0.35">
      <c r="H19" s="2">
        <f t="shared" si="5"/>
        <v>0</v>
      </c>
    </row>
    <row r="20" spans="1:10" x14ac:dyDescent="0.35">
      <c r="A20" s="8" t="s">
        <v>33</v>
      </c>
      <c r="D20" t="s">
        <v>1</v>
      </c>
      <c r="E20" t="s">
        <v>10</v>
      </c>
      <c r="F20" t="s">
        <v>28</v>
      </c>
      <c r="G20" t="s">
        <v>35</v>
      </c>
      <c r="H20" s="2" t="e">
        <f t="shared" si="5"/>
        <v>#VALUE!</v>
      </c>
      <c r="I20" t="s">
        <v>36</v>
      </c>
    </row>
    <row r="21" spans="1:10" x14ac:dyDescent="0.35">
      <c r="A21" s="8" t="s">
        <v>34</v>
      </c>
      <c r="B21">
        <v>4000</v>
      </c>
      <c r="C21">
        <v>2400</v>
      </c>
      <c r="D21">
        <v>2200</v>
      </c>
      <c r="E21">
        <f>D21*4.32</f>
        <v>9504</v>
      </c>
      <c r="F21">
        <f>E21*2.5</f>
        <v>23760</v>
      </c>
      <c r="G21">
        <v>800</v>
      </c>
      <c r="H21" s="2">
        <f t="shared" si="5"/>
        <v>7680</v>
      </c>
      <c r="I21">
        <v>5000</v>
      </c>
      <c r="J21">
        <f>F21+H21+I21</f>
        <v>36440</v>
      </c>
    </row>
    <row r="22" spans="1:10" x14ac:dyDescent="0.35">
      <c r="E22">
        <f t="shared" ref="E22:E23" si="7">D22*4.32</f>
        <v>0</v>
      </c>
      <c r="F22">
        <f t="shared" ref="F22:F24" si="8">E22*2.5</f>
        <v>0</v>
      </c>
    </row>
    <row r="23" spans="1:10" x14ac:dyDescent="0.35">
      <c r="A23" s="8" t="s">
        <v>37</v>
      </c>
      <c r="B23">
        <v>3200</v>
      </c>
      <c r="C23">
        <v>2500</v>
      </c>
      <c r="D23">
        <v>1800</v>
      </c>
      <c r="E23">
        <f t="shared" si="7"/>
        <v>7776.0000000000009</v>
      </c>
      <c r="F23" s="6">
        <f>E23*2.22</f>
        <v>17262.720000000005</v>
      </c>
      <c r="I23">
        <v>5000</v>
      </c>
      <c r="J23" s="7">
        <f>F23+I23</f>
        <v>22262.720000000005</v>
      </c>
    </row>
    <row r="24" spans="1:10" x14ac:dyDescent="0.35">
      <c r="F24">
        <f t="shared" si="8"/>
        <v>0</v>
      </c>
    </row>
  </sheetData>
  <mergeCells count="1">
    <mergeCell ref="B5:D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Malu Paikada</dc:creator>
  <cp:lastModifiedBy>Malu Paikada</cp:lastModifiedBy>
  <dcterms:created xsi:type="dcterms:W3CDTF">2026-10-27T07:25:22Z</dcterms:created>
  <dcterms:modified xsi:type="dcterms:W3CDTF">2026-10-27T07:49:13Z</dcterms:modified>
</cp:coreProperties>
</file>